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5B97EF37-AB7C-46A4-90B8-E90648E800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Test Cases" sheetId="2" r:id="rId2"/>
    <sheet name="Traceability" sheetId="3" r:id="rId3"/>
    <sheet name="Execution Summary" sheetId="4" r:id="rId4"/>
  </sheets>
  <definedNames>
    <definedName name="_xlnm._FilterDatabase" localSheetId="1" hidden="1">'Test Cases'!$A$1:$K$21</definedName>
  </definedNames>
  <calcPr calcId="181029"/>
</workbook>
</file>

<file path=xl/calcChain.xml><?xml version="1.0" encoding="utf-8"?>
<calcChain xmlns="http://schemas.openxmlformats.org/spreadsheetml/2006/main">
  <c r="C9" i="4" l="1"/>
  <c r="C8" i="4"/>
  <c r="C7" i="4"/>
  <c r="C6" i="4"/>
  <c r="C5" i="4"/>
  <c r="C12" i="1"/>
</calcChain>
</file>

<file path=xl/sharedStrings.xml><?xml version="1.0" encoding="utf-8"?>
<sst xmlns="http://schemas.openxmlformats.org/spreadsheetml/2006/main" count="334" uniqueCount="205">
  <si>
    <t>PARABANK WEB APPLICATION</t>
  </si>
  <si>
    <t>Test Case Documentation  |  BDD + POM Framework</t>
  </si>
  <si>
    <t>Project</t>
  </si>
  <si>
    <t>ParaBank – Online Banking Demo</t>
  </si>
  <si>
    <t>Application</t>
  </si>
  <si>
    <t>https://parabank.parasoft.com</t>
  </si>
  <si>
    <t>Framework</t>
  </si>
  <si>
    <t>Playwright  |  TypeScript  |  Cucumber BDD  |  POM</t>
  </si>
  <si>
    <t>Prepared By</t>
  </si>
  <si>
    <t>Abhishek Kamble</t>
  </si>
  <si>
    <t>Designation</t>
  </si>
  <si>
    <t>QA Automation Engineer</t>
  </si>
  <si>
    <t>Date</t>
  </si>
  <si>
    <t>May 2026</t>
  </si>
  <si>
    <t>Total TCs</t>
  </si>
  <si>
    <t>Sheets in this Workbook</t>
  </si>
  <si>
    <t>Test Cases</t>
  </si>
  <si>
    <t>All 20 test cases with BDD format and details</t>
  </si>
  <si>
    <t>Traceability</t>
  </si>
  <si>
    <t>Requirement → Test Case mapping</t>
  </si>
  <si>
    <t>Execution Summary</t>
  </si>
  <si>
    <t>Pass/Fail summary dashboard</t>
  </si>
  <si>
    <t>TC ID</t>
  </si>
  <si>
    <t>Module</t>
  </si>
  <si>
    <t>Test Case Title</t>
  </si>
  <si>
    <t>BDD Scenario</t>
  </si>
  <si>
    <t>Given (Precondition)</t>
  </si>
  <si>
    <t>When (Action)</t>
  </si>
  <si>
    <t>Then (Expected Result)</t>
  </si>
  <si>
    <t>Priority</t>
  </si>
  <si>
    <t>Type</t>
  </si>
  <si>
    <t>Status</t>
  </si>
  <si>
    <t>Automation File</t>
  </si>
  <si>
    <t>TC_001</t>
  </si>
  <si>
    <t>Registration</t>
  </si>
  <si>
    <t>Successful new user registration</t>
  </si>
  <si>
    <t>User registers with valid details</t>
  </si>
  <si>
    <t>User is on the ParaBank home page</t>
  </si>
  <si>
    <t>User clicks Register and fills all valid fields and submits</t>
  </si>
  <si>
    <t>User sees 'Welcome' message and is logged in automatically</t>
  </si>
  <si>
    <t>High</t>
  </si>
  <si>
    <t>Functional</t>
  </si>
  <si>
    <t>Pass</t>
  </si>
  <si>
    <t>RegisterPage.ts</t>
  </si>
  <si>
    <t>TC_002</t>
  </si>
  <si>
    <t>Registration with duplicate username</t>
  </si>
  <si>
    <t>Duplicate username shows error</t>
  </si>
  <si>
    <t>An account with username 'abhi123' already exists</t>
  </si>
  <si>
    <t>User attempts to register with the same username 'abhi123'</t>
  </si>
  <si>
    <t>Error message 'This username already exists' is displayed</t>
  </si>
  <si>
    <t>Negative</t>
  </si>
  <si>
    <t>TC_003</t>
  </si>
  <si>
    <t>Registration with empty mandatory fields</t>
  </si>
  <si>
    <t>Empty form submission shows validation</t>
  </si>
  <si>
    <t>User is on the registration page</t>
  </si>
  <si>
    <t>User submits the form without filling any fields</t>
  </si>
  <si>
    <t>All required field validation errors are displayed</t>
  </si>
  <si>
    <t>TC_004</t>
  </si>
  <si>
    <t>Password and Confirm Password mismatch</t>
  </si>
  <si>
    <t>Mismatched passwords shows error</t>
  </si>
  <si>
    <t>User has filled all registration fields</t>
  </si>
  <si>
    <t>User enters different values in Password and Confirm Password fields</t>
  </si>
  <si>
    <t>Error 'Passwords did not match' is displayed</t>
  </si>
  <si>
    <t>Medium</t>
  </si>
  <si>
    <t>TC_005</t>
  </si>
  <si>
    <t>Login</t>
  </si>
  <si>
    <t>Successful login with valid credentials</t>
  </si>
  <si>
    <t>Valid user logs in successfully</t>
  </si>
  <si>
    <t>A registered user account exists in the system</t>
  </si>
  <si>
    <t>User enters valid username and password and clicks Log In</t>
  </si>
  <si>
    <t>User is redirected to Account Overview page</t>
  </si>
  <si>
    <t>LoginPage.ts</t>
  </si>
  <si>
    <t>TC_006</t>
  </si>
  <si>
    <t>Login with invalid password</t>
  </si>
  <si>
    <t>Invalid password shows error</t>
  </si>
  <si>
    <t>A registered user account exists</t>
  </si>
  <si>
    <t>User enters valid username with wrong password and clicks Log In</t>
  </si>
  <si>
    <t>Error 'The username and password could not be verified' is displayed</t>
  </si>
  <si>
    <t>TC_007</t>
  </si>
  <si>
    <t>Login with non-existent username</t>
  </si>
  <si>
    <t>Non-existent user shows error</t>
  </si>
  <si>
    <t>User is on the login page</t>
  </si>
  <si>
    <t>User enters a username that does not exist and any password</t>
  </si>
  <si>
    <t>Error message is displayed; user stays on login page</t>
  </si>
  <si>
    <t>TC_008</t>
  </si>
  <si>
    <t>Login with empty credentials</t>
  </si>
  <si>
    <t>Empty login submission shows validation</t>
  </si>
  <si>
    <t>User clicks Log In without entering username or password</t>
  </si>
  <si>
    <t>Validation error messages are displayed for both fields</t>
  </si>
  <si>
    <t>TC_009</t>
  </si>
  <si>
    <t>Account Overview</t>
  </si>
  <si>
    <t>Account balance is displayed after login</t>
  </si>
  <si>
    <t>Balance visible on account overview</t>
  </si>
  <si>
    <t>User is logged in with a valid account</t>
  </si>
  <si>
    <t>User navigates to Account Overview page</t>
  </si>
  <si>
    <t>Account number, balance, and available amount are displayed in a table</t>
  </si>
  <si>
    <t>AccountOverviewPage.ts</t>
  </si>
  <si>
    <t>TC_010</t>
  </si>
  <si>
    <t>Total balance row is shown at bottom</t>
  </si>
  <si>
    <t>Total balance row is present</t>
  </si>
  <si>
    <t>User is logged in and on Account Overview page</t>
  </si>
  <si>
    <t>User views the accounts table</t>
  </si>
  <si>
    <t>A 'Total' row showing the sum of all balances is visible at the bottom</t>
  </si>
  <si>
    <t>TC_011</t>
  </si>
  <si>
    <t>Account number link navigates to details</t>
  </si>
  <si>
    <t>Clicking account opens account detail</t>
  </si>
  <si>
    <t>User is on Account Overview page with at least one account</t>
  </si>
  <si>
    <t>User clicks on an account number hyperlink</t>
  </si>
  <si>
    <t>User is redirected to the Account Details page for that account</t>
  </si>
  <si>
    <t>Not Run</t>
  </si>
  <si>
    <t>TC_012</t>
  </si>
  <si>
    <t>Open New Account</t>
  </si>
  <si>
    <t>Open a new Checking account</t>
  </si>
  <si>
    <t>User opens a new Checking account</t>
  </si>
  <si>
    <t>User is logged in and on the Open New Account page</t>
  </si>
  <si>
    <t>User selects 'CHECKING' and selects a funding account and clicks Open</t>
  </si>
  <si>
    <t>Confirmation message 'Congratulations, your account is now open' is shown</t>
  </si>
  <si>
    <t>OpenAccountPage.ts</t>
  </si>
  <si>
    <t>TC_013</t>
  </si>
  <si>
    <t>Open a new Savings account</t>
  </si>
  <si>
    <t>User opens a new Savings account</t>
  </si>
  <si>
    <t>User selects 'SAVINGS' and selects a funding account and clicks Open</t>
  </si>
  <si>
    <t>New savings account number is generated and displayed</t>
  </si>
  <si>
    <t>TC_014</t>
  </si>
  <si>
    <t>Fund Transfer</t>
  </si>
  <si>
    <t>Transfer funds between accounts</t>
  </si>
  <si>
    <t>Funds transferred between two accounts</t>
  </si>
  <si>
    <t>User has two or more accounts with sufficient balance</t>
  </si>
  <si>
    <t>User navigates to Transfer Funds, enters amount, selects From/To accounts and submits</t>
  </si>
  <si>
    <t>Confirmation 'Transfer Complete!' is shown with correct amount and accounts</t>
  </si>
  <si>
    <t>TransferPage.ts</t>
  </si>
  <si>
    <t>TC_015</t>
  </si>
  <si>
    <t>Transfer with amount exceeding balance</t>
  </si>
  <si>
    <t>Insufficient funds shows error</t>
  </si>
  <si>
    <t>User has an account with $100 balance</t>
  </si>
  <si>
    <t>User attempts to transfer $500 from that account</t>
  </si>
  <si>
    <t>Error message about insufficient funds is displayed</t>
  </si>
  <si>
    <t>TC_016</t>
  </si>
  <si>
    <t>Transfer with zero amount</t>
  </si>
  <si>
    <t>Zero amount transfer is rejected</t>
  </si>
  <si>
    <t>User is on Transfer Funds page</t>
  </si>
  <si>
    <t>User enters 0 as the transfer amount and submits</t>
  </si>
  <si>
    <t>Validation error is shown; transfer does not proceed</t>
  </si>
  <si>
    <t>TC_017</t>
  </si>
  <si>
    <t>Bill Pay</t>
  </si>
  <si>
    <t>Pay a bill with valid payee details</t>
  </si>
  <si>
    <t>Bill payment completes successfully</t>
  </si>
  <si>
    <t>User is logged in and on the Bill Payment page</t>
  </si>
  <si>
    <t>User enters valid payee name, address, account, and amount and submits</t>
  </si>
  <si>
    <t>Confirmation 'Bill Payment Complete' with payee and amount is displayed</t>
  </si>
  <si>
    <t>BillPayPage.ts</t>
  </si>
  <si>
    <t>TC_018</t>
  </si>
  <si>
    <t>Bill pay with empty payee name</t>
  </si>
  <si>
    <t>Empty payee name shows validation</t>
  </si>
  <si>
    <t>User is on the Bill Payment page</t>
  </si>
  <si>
    <t>User leaves the payee name empty and submits the form</t>
  </si>
  <si>
    <t>Validation error 'Payee name is required' is displayed</t>
  </si>
  <si>
    <t>TC_019</t>
  </si>
  <si>
    <t>Logout</t>
  </si>
  <si>
    <t>User logs out successfully</t>
  </si>
  <si>
    <t>Logout redirects to home page</t>
  </si>
  <si>
    <t>User is logged in to the application</t>
  </si>
  <si>
    <t>User clicks the 'Log Out' link in the navigation</t>
  </si>
  <si>
    <t>User is redirected to the home page and session is terminated</t>
  </si>
  <si>
    <t>signup.steps.ts</t>
  </si>
  <si>
    <t>TC_020</t>
  </si>
  <si>
    <t>End-to-End</t>
  </si>
  <si>
    <t>Full signup-login-balance E2E flow</t>
  </si>
  <si>
    <t>Complete user journey from registration to balance check</t>
  </si>
  <si>
    <t>ParaBank application is accessible and the database is clean</t>
  </si>
  <si>
    <t>User registers → logs in → views account overview → reads account balance</t>
  </si>
  <si>
    <t>All steps pass; account balance is printed in console; screenshot is saved</t>
  </si>
  <si>
    <t>E2E</t>
  </si>
  <si>
    <t>Req ID</t>
  </si>
  <si>
    <t>Requirement Description</t>
  </si>
  <si>
    <t>Linked TC IDs</t>
  </si>
  <si>
    <t>Coverage</t>
  </si>
  <si>
    <t>REQ_001</t>
  </si>
  <si>
    <t>User Registration</t>
  </si>
  <si>
    <t>TC_001, TC_002, TC_003, TC_004</t>
  </si>
  <si>
    <t>100%</t>
  </si>
  <si>
    <t>REQ_002</t>
  </si>
  <si>
    <t>User Authentication</t>
  </si>
  <si>
    <t>TC_005, TC_006, TC_007, TC_008</t>
  </si>
  <si>
    <t>REQ_003</t>
  </si>
  <si>
    <t>TC_009, TC_010, TC_011</t>
  </si>
  <si>
    <t>REQ_004</t>
  </si>
  <si>
    <t>TC_012, TC_013</t>
  </si>
  <si>
    <t>Open Account</t>
  </si>
  <si>
    <t>REQ_005</t>
  </si>
  <si>
    <t>TC_014, TC_015, TC_016</t>
  </si>
  <si>
    <t>REQ_006</t>
  </si>
  <si>
    <t>Bill Payment</t>
  </si>
  <si>
    <t>TC_017, TC_018</t>
  </si>
  <si>
    <t>REQ_007</t>
  </si>
  <si>
    <t>User Logout</t>
  </si>
  <si>
    <t>REQ_008</t>
  </si>
  <si>
    <t>End-to-End User Flow</t>
  </si>
  <si>
    <t>EXECUTION SUMMARY</t>
  </si>
  <si>
    <t>Parabank Automation Suite  |  Playwright + Cucumber BDD</t>
  </si>
  <si>
    <t>Total Test Cases</t>
  </si>
  <si>
    <t>Fail</t>
  </si>
  <si>
    <t>Pass Rate</t>
  </si>
  <si>
    <t>Module-wise Breakdown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</si>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</sst>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28"/>
      <color rgb="FFFFFFFF"/>
      <name val="Arial"/>
    </font>
    <font>
      <sz val="13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FFFFFF"/>
      <name val="Arial"/>
    </font>
    <font>
      <i/>
      <sz val="10"/>
      <color rgb="FF2E75B6"/>
      <name val="Arial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1F3864"/>
      <name val="Arial"/>
    </font>
    <font>
      <b/>
      <sz val="11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topLeftCell="A4" workbookViewId="0">
      <selection activeCell="B13" sqref="B13:C13"/>
    </sheetView>
  </sheetViews>
  <sheetFormatPr defaultRowHeight="14.4" x14ac:dyDescent="0.3"/>
  <cols>
    <col min="1" max="1" width="4" customWidth="1"/>
    <col min="2" max="2" width="60" customWidth="1"/>
    <col min="3" max="3" width="43.77734375" customWidth="1"/>
  </cols>
  <sheetData>
    <row r="2" spans="2:3" ht="10.050000000000001" customHeight="1" x14ac:dyDescent="0.3"/>
    <row r="3" spans="2:3" ht="49.95" customHeight="1" x14ac:dyDescent="0.3">
      <c r="B3" s="27" t="s">
        <v>0</v>
      </c>
      <c r="C3" s="26"/>
    </row>
    <row r="4" spans="2:3" ht="28.05" customHeight="1" x14ac:dyDescent="0.3">
      <c r="B4" s="28" t="s">
        <v>1</v>
      </c>
      <c r="C4" s="26"/>
    </row>
    <row r="5" spans="2:3" ht="10.050000000000001" customHeight="1" x14ac:dyDescent="0.3"/>
    <row r="6" spans="2:3" ht="22.05" customHeight="1" x14ac:dyDescent="0.3">
      <c r="B6" s="1" t="s">
        <v>2</v>
      </c>
      <c r="C6" s="2" t="s">
        <v>3</v>
      </c>
    </row>
    <row r="7" spans="2:3" ht="22.05" customHeight="1" x14ac:dyDescent="0.3">
      <c r="B7" s="1" t="s">
        <v>4</v>
      </c>
      <c r="C7" s="2" t="s">
        <v>5</v>
      </c>
    </row>
    <row r="8" spans="2:3" ht="22.05" customHeight="1" x14ac:dyDescent="0.3">
      <c r="B8" s="1" t="s">
        <v>6</v>
      </c>
      <c r="C8" s="2" t="s">
        <v>7</v>
      </c>
    </row>
    <row r="9" spans="2:3" ht="22.05" customHeight="1" x14ac:dyDescent="0.3">
      <c r="B9" s="1" t="s">
        <v>8</v>
      </c>
      <c r="C9" s="2" t="s">
        <v>9</v>
      </c>
    </row>
    <row r="10" spans="2:3" ht="22.05" customHeight="1" x14ac:dyDescent="0.3">
      <c r="B10" s="1" t="s">
        <v>10</v>
      </c>
      <c r="C10" s="2" t="s">
        <v>11</v>
      </c>
    </row>
    <row r="11" spans="2:3" ht="22.05" customHeight="1" x14ac:dyDescent="0.3">
      <c r="B11" s="1" t="s">
        <v>12</v>
      </c>
      <c r="C11" s="2" t="s">
        <v>13</v>
      </c>
    </row>
    <row r="12" spans="2:3" ht="22.05" customHeight="1" x14ac:dyDescent="0.3">
      <c r="B12" s="1" t="s">
        <v>14</v>
      </c>
      <c r="C12" s="2">
        <f>COUNTA('Test Cases'!A:A)-1</f>
        <v>20</v>
      </c>
    </row>
    <row r="13" spans="2:3" ht="18" customHeight="1" x14ac:dyDescent="0.3">
      <c r="B13" s="25" t="s">
        <v>15</v>
      </c>
      <c r="C13" s="26"/>
    </row>
    <row r="14" spans="2:3" ht="19.95" customHeight="1" x14ac:dyDescent="0.3">
      <c r="B14" s="1" t="s">
        <v>16</v>
      </c>
      <c r="C14" s="3" t="s">
        <v>17</v>
      </c>
    </row>
    <row r="15" spans="2:3" ht="19.95" customHeight="1" x14ac:dyDescent="0.3">
      <c r="B15" s="1" t="s">
        <v>18</v>
      </c>
      <c r="C15" s="3" t="s">
        <v>19</v>
      </c>
    </row>
    <row r="16" spans="2:3" ht="19.95" customHeight="1" x14ac:dyDescent="0.3">
      <c r="B16" s="1" t="s">
        <v>20</v>
      </c>
      <c r="C16" s="3" t="s">
        <v>21</v>
      </c>
    </row>
  </sheetData>
  <mergeCells count="3">
    <mergeCell ref="B13:C13"/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tabSelected="1" topLeftCell="E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8" customWidth="1"/>
    <col min="3" max="3" width="28" customWidth="1"/>
    <col min="4" max="4" width="20" customWidth="1"/>
    <col min="5" max="6" width="36" customWidth="1"/>
    <col min="7" max="7" width="28" customWidth="1"/>
    <col min="8" max="10" width="14" customWidth="1"/>
    <col min="11" max="11" width="18" customWidth="1"/>
  </cols>
  <sheetData>
    <row r="1" spans="1:11" ht="36" customHeight="1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 spans="1:11" ht="52.05" customHeight="1" x14ac:dyDescent="0.3">
      <c r="A2" s="5" t="s">
        <v>33</v>
      </c>
      <c r="B2" s="6" t="s">
        <v>34</v>
      </c>
      <c r="C2" s="6" t="s">
        <v>35</v>
      </c>
      <c r="D2" s="7" t="s">
        <v>36</v>
      </c>
      <c r="E2" s="6" t="s">
        <v>37</v>
      </c>
      <c r="F2" s="6" t="s">
        <v>38</v>
      </c>
      <c r="G2" s="6" t="s">
        <v>39</v>
      </c>
      <c r="H2" s="8" t="s">
        <v>40</v>
      </c>
      <c r="I2" s="5" t="s">
        <v>41</v>
      </c>
      <c r="J2" s="9" t="s">
        <v>42</v>
      </c>
      <c r="K2" s="6" t="s">
        <v>43</v>
      </c>
    </row>
    <row r="3" spans="1:11" ht="52.05" customHeight="1" x14ac:dyDescent="0.3">
      <c r="A3" s="10" t="s">
        <v>44</v>
      </c>
      <c r="B3" s="11" t="s">
        <v>34</v>
      </c>
      <c r="C3" s="11" t="s">
        <v>45</v>
      </c>
      <c r="D3" s="7" t="s">
        <v>46</v>
      </c>
      <c r="E3" s="11" t="s">
        <v>47</v>
      </c>
      <c r="F3" s="11" t="s">
        <v>48</v>
      </c>
      <c r="G3" s="11" t="s">
        <v>49</v>
      </c>
      <c r="H3" s="8" t="s">
        <v>40</v>
      </c>
      <c r="I3" s="10" t="s">
        <v>50</v>
      </c>
      <c r="J3" s="9" t="s">
        <v>42</v>
      </c>
      <c r="K3" s="11" t="s">
        <v>43</v>
      </c>
    </row>
    <row r="4" spans="1:11" ht="52.05" customHeight="1" x14ac:dyDescent="0.3">
      <c r="A4" s="5" t="s">
        <v>51</v>
      </c>
      <c r="B4" s="6" t="s">
        <v>34</v>
      </c>
      <c r="C4" s="6" t="s">
        <v>52</v>
      </c>
      <c r="D4" s="7" t="s">
        <v>53</v>
      </c>
      <c r="E4" s="6" t="s">
        <v>54</v>
      </c>
      <c r="F4" s="6" t="s">
        <v>55</v>
      </c>
      <c r="G4" s="6" t="s">
        <v>56</v>
      </c>
      <c r="H4" s="8" t="s">
        <v>40</v>
      </c>
      <c r="I4" s="5" t="s">
        <v>50</v>
      </c>
      <c r="J4" s="9" t="s">
        <v>42</v>
      </c>
      <c r="K4" s="6" t="s">
        <v>43</v>
      </c>
    </row>
    <row r="5" spans="1:11" ht="52.05" customHeight="1" x14ac:dyDescent="0.3">
      <c r="A5" s="10" t="s">
        <v>57</v>
      </c>
      <c r="B5" s="11" t="s">
        <v>34</v>
      </c>
      <c r="C5" s="11" t="s">
        <v>58</v>
      </c>
      <c r="D5" s="7" t="s">
        <v>59</v>
      </c>
      <c r="E5" s="11" t="s">
        <v>60</v>
      </c>
      <c r="F5" s="11" t="s">
        <v>61</v>
      </c>
      <c r="G5" s="11" t="s">
        <v>62</v>
      </c>
      <c r="H5" s="12" t="s">
        <v>63</v>
      </c>
      <c r="I5" s="10" t="s">
        <v>50</v>
      </c>
      <c r="J5" s="9" t="s">
        <v>42</v>
      </c>
      <c r="K5" s="11" t="s">
        <v>43</v>
      </c>
    </row>
    <row r="6" spans="1:11" ht="52.05" customHeight="1" x14ac:dyDescent="0.3">
      <c r="A6" s="5" t="s">
        <v>64</v>
      </c>
      <c r="B6" s="6" t="s">
        <v>65</v>
      </c>
      <c r="C6" s="6" t="s">
        <v>66</v>
      </c>
      <c r="D6" s="7" t="s">
        <v>67</v>
      </c>
      <c r="E6" s="6" t="s">
        <v>68</v>
      </c>
      <c r="F6" s="6" t="s">
        <v>69</v>
      </c>
      <c r="G6" s="6" t="s">
        <v>70</v>
      </c>
      <c r="H6" s="8" t="s">
        <v>40</v>
      </c>
      <c r="I6" s="5" t="s">
        <v>41</v>
      </c>
      <c r="J6" s="9" t="s">
        <v>42</v>
      </c>
      <c r="K6" s="6" t="s">
        <v>71</v>
      </c>
    </row>
    <row r="7" spans="1:11" ht="52.05" customHeight="1" x14ac:dyDescent="0.3">
      <c r="A7" s="10" t="s">
        <v>72</v>
      </c>
      <c r="B7" s="11" t="s">
        <v>65</v>
      </c>
      <c r="C7" s="11" t="s">
        <v>73</v>
      </c>
      <c r="D7" s="7" t="s">
        <v>74</v>
      </c>
      <c r="E7" s="11" t="s">
        <v>75</v>
      </c>
      <c r="F7" s="11" t="s">
        <v>76</v>
      </c>
      <c r="G7" s="11" t="s">
        <v>77</v>
      </c>
      <c r="H7" s="8" t="s">
        <v>40</v>
      </c>
      <c r="I7" s="10" t="s">
        <v>50</v>
      </c>
      <c r="J7" s="9" t="s">
        <v>42</v>
      </c>
      <c r="K7" s="11" t="s">
        <v>71</v>
      </c>
    </row>
    <row r="8" spans="1:11" ht="52.05" customHeight="1" x14ac:dyDescent="0.3">
      <c r="A8" s="5" t="s">
        <v>78</v>
      </c>
      <c r="B8" s="6" t="s">
        <v>65</v>
      </c>
      <c r="C8" s="6" t="s">
        <v>79</v>
      </c>
      <c r="D8" s="7" t="s">
        <v>80</v>
      </c>
      <c r="E8" s="6" t="s">
        <v>81</v>
      </c>
      <c r="F8" s="6" t="s">
        <v>82</v>
      </c>
      <c r="G8" s="6" t="s">
        <v>83</v>
      </c>
      <c r="H8" s="8" t="s">
        <v>40</v>
      </c>
      <c r="I8" s="5" t="s">
        <v>50</v>
      </c>
      <c r="J8" s="9" t="s">
        <v>42</v>
      </c>
      <c r="K8" s="6" t="s">
        <v>71</v>
      </c>
    </row>
    <row r="9" spans="1:11" ht="52.05" customHeight="1" x14ac:dyDescent="0.3">
      <c r="A9" s="10" t="s">
        <v>84</v>
      </c>
      <c r="B9" s="11" t="s">
        <v>65</v>
      </c>
      <c r="C9" s="11" t="s">
        <v>85</v>
      </c>
      <c r="D9" s="7" t="s">
        <v>86</v>
      </c>
      <c r="E9" s="11" t="s">
        <v>81</v>
      </c>
      <c r="F9" s="11" t="s">
        <v>87</v>
      </c>
      <c r="G9" s="11" t="s">
        <v>88</v>
      </c>
      <c r="H9" s="12" t="s">
        <v>63</v>
      </c>
      <c r="I9" s="10" t="s">
        <v>50</v>
      </c>
      <c r="J9" s="9" t="s">
        <v>42</v>
      </c>
      <c r="K9" s="11" t="s">
        <v>71</v>
      </c>
    </row>
    <row r="10" spans="1:11" ht="52.05" customHeight="1" x14ac:dyDescent="0.3">
      <c r="A10" s="5" t="s">
        <v>89</v>
      </c>
      <c r="B10" s="6" t="s">
        <v>90</v>
      </c>
      <c r="C10" s="6" t="s">
        <v>91</v>
      </c>
      <c r="D10" s="7" t="s">
        <v>92</v>
      </c>
      <c r="E10" s="6" t="s">
        <v>93</v>
      </c>
      <c r="F10" s="6" t="s">
        <v>94</v>
      </c>
      <c r="G10" s="6" t="s">
        <v>95</v>
      </c>
      <c r="H10" s="8" t="s">
        <v>40</v>
      </c>
      <c r="I10" s="5" t="s">
        <v>41</v>
      </c>
      <c r="J10" s="9" t="s">
        <v>42</v>
      </c>
      <c r="K10" s="6" t="s">
        <v>96</v>
      </c>
    </row>
    <row r="11" spans="1:11" ht="52.05" customHeight="1" x14ac:dyDescent="0.3">
      <c r="A11" s="10" t="s">
        <v>97</v>
      </c>
      <c r="B11" s="11" t="s">
        <v>90</v>
      </c>
      <c r="C11" s="11" t="s">
        <v>98</v>
      </c>
      <c r="D11" s="7" t="s">
        <v>99</v>
      </c>
      <c r="E11" s="11" t="s">
        <v>100</v>
      </c>
      <c r="F11" s="11" t="s">
        <v>101</v>
      </c>
      <c r="G11" s="11" t="s">
        <v>102</v>
      </c>
      <c r="H11" s="12" t="s">
        <v>63</v>
      </c>
      <c r="I11" s="10" t="s">
        <v>41</v>
      </c>
      <c r="J11" s="9" t="s">
        <v>42</v>
      </c>
      <c r="K11" s="11" t="s">
        <v>96</v>
      </c>
    </row>
    <row r="12" spans="1:11" ht="52.05" customHeight="1" x14ac:dyDescent="0.3">
      <c r="A12" s="5" t="s">
        <v>103</v>
      </c>
      <c r="B12" s="6" t="s">
        <v>90</v>
      </c>
      <c r="C12" s="6" t="s">
        <v>104</v>
      </c>
      <c r="D12" s="7" t="s">
        <v>105</v>
      </c>
      <c r="E12" s="6" t="s">
        <v>106</v>
      </c>
      <c r="F12" s="6" t="s">
        <v>107</v>
      </c>
      <c r="G12" s="6" t="s">
        <v>108</v>
      </c>
      <c r="H12" s="12" t="s">
        <v>63</v>
      </c>
      <c r="I12" s="5" t="s">
        <v>41</v>
      </c>
      <c r="J12" s="12" t="s">
        <v>109</v>
      </c>
      <c r="K12" s="6" t="s">
        <v>96</v>
      </c>
    </row>
    <row r="13" spans="1:11" ht="52.05" customHeight="1" x14ac:dyDescent="0.3">
      <c r="A13" s="10" t="s">
        <v>110</v>
      </c>
      <c r="B13" s="11" t="s">
        <v>111</v>
      </c>
      <c r="C13" s="11" t="s">
        <v>112</v>
      </c>
      <c r="D13" s="7" t="s">
        <v>113</v>
      </c>
      <c r="E13" s="11" t="s">
        <v>114</v>
      </c>
      <c r="F13" s="11" t="s">
        <v>115</v>
      </c>
      <c r="G13" s="11" t="s">
        <v>116</v>
      </c>
      <c r="H13" s="8" t="s">
        <v>40</v>
      </c>
      <c r="I13" s="10" t="s">
        <v>41</v>
      </c>
      <c r="J13" s="12" t="s">
        <v>109</v>
      </c>
      <c r="K13" s="11" t="s">
        <v>117</v>
      </c>
    </row>
    <row r="14" spans="1:11" ht="52.05" customHeight="1" x14ac:dyDescent="0.3">
      <c r="A14" s="5" t="s">
        <v>118</v>
      </c>
      <c r="B14" s="6" t="s">
        <v>111</v>
      </c>
      <c r="C14" s="6" t="s">
        <v>119</v>
      </c>
      <c r="D14" s="7" t="s">
        <v>120</v>
      </c>
      <c r="E14" s="6" t="s">
        <v>114</v>
      </c>
      <c r="F14" s="6" t="s">
        <v>121</v>
      </c>
      <c r="G14" s="6" t="s">
        <v>122</v>
      </c>
      <c r="H14" s="8" t="s">
        <v>40</v>
      </c>
      <c r="I14" s="5" t="s">
        <v>41</v>
      </c>
      <c r="J14" s="12" t="s">
        <v>109</v>
      </c>
      <c r="K14" s="6" t="s">
        <v>117</v>
      </c>
    </row>
    <row r="15" spans="1:11" ht="52.05" customHeight="1" x14ac:dyDescent="0.3">
      <c r="A15" s="10" t="s">
        <v>123</v>
      </c>
      <c r="B15" s="11" t="s">
        <v>124</v>
      </c>
      <c r="C15" s="11" t="s">
        <v>125</v>
      </c>
      <c r="D15" s="7" t="s">
        <v>126</v>
      </c>
      <c r="E15" s="11" t="s">
        <v>127</v>
      </c>
      <c r="F15" s="11" t="s">
        <v>128</v>
      </c>
      <c r="G15" s="11" t="s">
        <v>129</v>
      </c>
      <c r="H15" s="8" t="s">
        <v>40</v>
      </c>
      <c r="I15" s="10" t="s">
        <v>41</v>
      </c>
      <c r="J15" s="12" t="s">
        <v>109</v>
      </c>
      <c r="K15" s="11" t="s">
        <v>130</v>
      </c>
    </row>
    <row r="16" spans="1:11" ht="52.05" customHeight="1" x14ac:dyDescent="0.3">
      <c r="A16" s="5" t="s">
        <v>131</v>
      </c>
      <c r="B16" s="6" t="s">
        <v>124</v>
      </c>
      <c r="C16" s="6" t="s">
        <v>132</v>
      </c>
      <c r="D16" s="7" t="s">
        <v>133</v>
      </c>
      <c r="E16" s="6" t="s">
        <v>134</v>
      </c>
      <c r="F16" s="6" t="s">
        <v>135</v>
      </c>
      <c r="G16" s="6" t="s">
        <v>136</v>
      </c>
      <c r="H16" s="8" t="s">
        <v>40</v>
      </c>
      <c r="I16" s="5" t="s">
        <v>50</v>
      </c>
      <c r="J16" s="12" t="s">
        <v>109</v>
      </c>
      <c r="K16" s="6" t="s">
        <v>130</v>
      </c>
    </row>
    <row r="17" spans="1:11" ht="52.05" customHeight="1" x14ac:dyDescent="0.3">
      <c r="A17" s="10" t="s">
        <v>137</v>
      </c>
      <c r="B17" s="11" t="s">
        <v>124</v>
      </c>
      <c r="C17" s="11" t="s">
        <v>138</v>
      </c>
      <c r="D17" s="7" t="s">
        <v>139</v>
      </c>
      <c r="E17" s="11" t="s">
        <v>140</v>
      </c>
      <c r="F17" s="11" t="s">
        <v>141</v>
      </c>
      <c r="G17" s="11" t="s">
        <v>142</v>
      </c>
      <c r="H17" s="12" t="s">
        <v>63</v>
      </c>
      <c r="I17" s="10" t="s">
        <v>50</v>
      </c>
      <c r="J17" s="12" t="s">
        <v>109</v>
      </c>
      <c r="K17" s="11" t="s">
        <v>130</v>
      </c>
    </row>
    <row r="18" spans="1:11" ht="52.05" customHeight="1" x14ac:dyDescent="0.3">
      <c r="A18" s="5" t="s">
        <v>143</v>
      </c>
      <c r="B18" s="6" t="s">
        <v>144</v>
      </c>
      <c r="C18" s="6" t="s">
        <v>145</v>
      </c>
      <c r="D18" s="7" t="s">
        <v>146</v>
      </c>
      <c r="E18" s="6" t="s">
        <v>147</v>
      </c>
      <c r="F18" s="6" t="s">
        <v>148</v>
      </c>
      <c r="G18" s="6" t="s">
        <v>149</v>
      </c>
      <c r="H18" s="8" t="s">
        <v>40</v>
      </c>
      <c r="I18" s="5" t="s">
        <v>41</v>
      </c>
      <c r="J18" s="12" t="s">
        <v>109</v>
      </c>
      <c r="K18" s="6" t="s">
        <v>150</v>
      </c>
    </row>
    <row r="19" spans="1:11" ht="52.05" customHeight="1" x14ac:dyDescent="0.3">
      <c r="A19" s="10" t="s">
        <v>151</v>
      </c>
      <c r="B19" s="11" t="s">
        <v>144</v>
      </c>
      <c r="C19" s="11" t="s">
        <v>152</v>
      </c>
      <c r="D19" s="7" t="s">
        <v>153</v>
      </c>
      <c r="E19" s="11" t="s">
        <v>154</v>
      </c>
      <c r="F19" s="11" t="s">
        <v>155</v>
      </c>
      <c r="G19" s="11" t="s">
        <v>156</v>
      </c>
      <c r="H19" s="12" t="s">
        <v>63</v>
      </c>
      <c r="I19" s="10" t="s">
        <v>50</v>
      </c>
      <c r="J19" s="12" t="s">
        <v>109</v>
      </c>
      <c r="K19" s="11" t="s">
        <v>150</v>
      </c>
    </row>
    <row r="20" spans="1:11" ht="52.05" customHeight="1" x14ac:dyDescent="0.3">
      <c r="A20" s="5" t="s">
        <v>157</v>
      </c>
      <c r="B20" s="6" t="s">
        <v>158</v>
      </c>
      <c r="C20" s="6" t="s">
        <v>159</v>
      </c>
      <c r="D20" s="7" t="s">
        <v>160</v>
      </c>
      <c r="E20" s="6" t="s">
        <v>161</v>
      </c>
      <c r="F20" s="6" t="s">
        <v>162</v>
      </c>
      <c r="G20" s="6" t="s">
        <v>163</v>
      </c>
      <c r="H20" s="8" t="s">
        <v>40</v>
      </c>
      <c r="I20" s="5" t="s">
        <v>41</v>
      </c>
      <c r="J20" s="9" t="s">
        <v>42</v>
      </c>
      <c r="K20" s="6" t="s">
        <v>164</v>
      </c>
    </row>
    <row r="21" spans="1:11" ht="52.05" customHeight="1" x14ac:dyDescent="0.3">
      <c r="A21" s="10" t="s">
        <v>165</v>
      </c>
      <c r="B21" s="11" t="s">
        <v>166</v>
      </c>
      <c r="C21" s="11" t="s">
        <v>167</v>
      </c>
      <c r="D21" s="7" t="s">
        <v>168</v>
      </c>
      <c r="E21" s="11" t="s">
        <v>169</v>
      </c>
      <c r="F21" s="11" t="s">
        <v>170</v>
      </c>
      <c r="G21" s="11" t="s">
        <v>171</v>
      </c>
      <c r="H21" s="8" t="s">
        <v>40</v>
      </c>
      <c r="I21" s="10" t="s">
        <v>172</v>
      </c>
      <c r="J21" s="9" t="s">
        <v>42</v>
      </c>
      <c r="K21" s="11" t="s">
        <v>164</v>
      </c>
    </row>
  </sheetData>
  <autoFilter ref="A1:K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/>
  </sheetViews>
  <sheetFormatPr defaultRowHeight="14.4" x14ac:dyDescent="0.3"/>
  <cols>
    <col min="1" max="1" width="10" customWidth="1"/>
    <col min="2" max="2" width="32" customWidth="1"/>
    <col min="3" max="3" width="18" customWidth="1"/>
    <col min="4" max="5" width="16" customWidth="1"/>
    <col min="6" max="6" width="18" customWidth="1"/>
  </cols>
  <sheetData>
    <row r="1" spans="1:6" ht="31.95" customHeight="1" x14ac:dyDescent="0.3">
      <c r="A1" s="13" t="s">
        <v>173</v>
      </c>
      <c r="B1" s="13" t="s">
        <v>174</v>
      </c>
      <c r="C1" s="13" t="s">
        <v>175</v>
      </c>
      <c r="D1" s="13" t="s">
        <v>29</v>
      </c>
      <c r="E1" s="13" t="s">
        <v>176</v>
      </c>
      <c r="F1" s="13" t="s">
        <v>23</v>
      </c>
    </row>
    <row r="2" spans="1:6" ht="24" customHeight="1" x14ac:dyDescent="0.3">
      <c r="A2" s="14" t="s">
        <v>177</v>
      </c>
      <c r="B2" s="3" t="s">
        <v>178</v>
      </c>
      <c r="C2" s="3" t="s">
        <v>179</v>
      </c>
      <c r="D2" s="14" t="s">
        <v>40</v>
      </c>
      <c r="E2" s="14" t="s">
        <v>180</v>
      </c>
      <c r="F2" s="3" t="s">
        <v>34</v>
      </c>
    </row>
    <row r="3" spans="1:6" ht="24" customHeight="1" x14ac:dyDescent="0.3">
      <c r="A3" s="15" t="s">
        <v>181</v>
      </c>
      <c r="B3" s="2" t="s">
        <v>182</v>
      </c>
      <c r="C3" s="2" t="s">
        <v>183</v>
      </c>
      <c r="D3" s="15" t="s">
        <v>40</v>
      </c>
      <c r="E3" s="15" t="s">
        <v>180</v>
      </c>
      <c r="F3" s="2" t="s">
        <v>65</v>
      </c>
    </row>
    <row r="4" spans="1:6" ht="24" customHeight="1" x14ac:dyDescent="0.3">
      <c r="A4" s="14" t="s">
        <v>184</v>
      </c>
      <c r="B4" s="3" t="s">
        <v>90</v>
      </c>
      <c r="C4" s="3" t="s">
        <v>185</v>
      </c>
      <c r="D4" s="14" t="s">
        <v>40</v>
      </c>
      <c r="E4" s="14" t="s">
        <v>180</v>
      </c>
      <c r="F4" s="3" t="s">
        <v>90</v>
      </c>
    </row>
    <row r="5" spans="1:6" ht="24" customHeight="1" x14ac:dyDescent="0.3">
      <c r="A5" s="15" t="s">
        <v>186</v>
      </c>
      <c r="B5" s="2" t="s">
        <v>111</v>
      </c>
      <c r="C5" s="2" t="s">
        <v>187</v>
      </c>
      <c r="D5" s="15" t="s">
        <v>40</v>
      </c>
      <c r="E5" s="15" t="s">
        <v>180</v>
      </c>
      <c r="F5" s="2" t="s">
        <v>188</v>
      </c>
    </row>
    <row r="6" spans="1:6" ht="24" customHeight="1" x14ac:dyDescent="0.3">
      <c r="A6" s="14" t="s">
        <v>189</v>
      </c>
      <c r="B6" s="3" t="s">
        <v>124</v>
      </c>
      <c r="C6" s="3" t="s">
        <v>190</v>
      </c>
      <c r="D6" s="14" t="s">
        <v>40</v>
      </c>
      <c r="E6" s="14" t="s">
        <v>180</v>
      </c>
      <c r="F6" s="3" t="s">
        <v>124</v>
      </c>
    </row>
    <row r="7" spans="1:6" ht="24" customHeight="1" x14ac:dyDescent="0.3">
      <c r="A7" s="15" t="s">
        <v>191</v>
      </c>
      <c r="B7" s="2" t="s">
        <v>192</v>
      </c>
      <c r="C7" s="2" t="s">
        <v>193</v>
      </c>
      <c r="D7" s="15" t="s">
        <v>63</v>
      </c>
      <c r="E7" s="15" t="s">
        <v>180</v>
      </c>
      <c r="F7" s="2" t="s">
        <v>144</v>
      </c>
    </row>
    <row r="8" spans="1:6" ht="24" customHeight="1" x14ac:dyDescent="0.3">
      <c r="A8" s="14" t="s">
        <v>194</v>
      </c>
      <c r="B8" s="3" t="s">
        <v>195</v>
      </c>
      <c r="C8" s="3" t="s">
        <v>157</v>
      </c>
      <c r="D8" s="14" t="s">
        <v>63</v>
      </c>
      <c r="E8" s="14" t="s">
        <v>180</v>
      </c>
      <c r="F8" s="3" t="s">
        <v>158</v>
      </c>
    </row>
    <row r="9" spans="1:6" ht="24" customHeight="1" x14ac:dyDescent="0.3">
      <c r="A9" s="15" t="s">
        <v>196</v>
      </c>
      <c r="B9" s="2" t="s">
        <v>197</v>
      </c>
      <c r="C9" s="2" t="s">
        <v>165</v>
      </c>
      <c r="D9" s="15" t="s">
        <v>40</v>
      </c>
      <c r="E9" s="15" t="s">
        <v>180</v>
      </c>
      <c r="F9" s="2" t="s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0"/>
  <sheetViews>
    <sheetView showGridLines="0" topLeftCell="A15" workbookViewId="0"/>
  </sheetViews>
  <sheetFormatPr defaultRowHeight="14.4" x14ac:dyDescent="0.3"/>
  <cols>
    <col min="1" max="1" width="4" customWidth="1"/>
    <col min="2" max="2" width="30" customWidth="1"/>
    <col min="3" max="4" width="18" customWidth="1"/>
  </cols>
  <sheetData>
    <row r="2" spans="2:4" ht="40.049999999999997" customHeight="1" x14ac:dyDescent="0.3">
      <c r="B2" s="31" t="s">
        <v>198</v>
      </c>
      <c r="C2" s="26"/>
      <c r="D2" s="26"/>
    </row>
    <row r="3" spans="2:4" ht="19.95" customHeight="1" x14ac:dyDescent="0.3">
      <c r="B3" s="30" t="s">
        <v>199</v>
      </c>
      <c r="C3" s="26"/>
      <c r="D3" s="26"/>
    </row>
    <row r="4" spans="2:4" ht="10.050000000000001" customHeight="1" x14ac:dyDescent="0.3"/>
    <row r="5" spans="2:4" ht="28.05" customHeight="1" x14ac:dyDescent="0.3">
      <c r="B5" s="16" t="s">
        <v>200</v>
      </c>
      <c r="C5" s="17">
        <f>COUNTA('Test Cases'!A:A)-1</f>
        <v>20</v>
      </c>
    </row>
    <row r="6" spans="2:4" ht="28.05" customHeight="1" x14ac:dyDescent="0.3">
      <c r="B6" s="18" t="s">
        <v>42</v>
      </c>
      <c r="C6" s="17">
        <f>COUNTIF('Test Cases'!J:J,"Pass")</f>
        <v>12</v>
      </c>
    </row>
    <row r="7" spans="2:4" ht="28.05" customHeight="1" x14ac:dyDescent="0.3">
      <c r="B7" s="19" t="s">
        <v>201</v>
      </c>
      <c r="C7" s="17">
        <f>COUNTIF('Test Cases'!J:J,"Fail")</f>
        <v>0</v>
      </c>
    </row>
    <row r="8" spans="2:4" ht="28.05" customHeight="1" x14ac:dyDescent="0.3">
      <c r="B8" s="20" t="s">
        <v>109</v>
      </c>
      <c r="C8" s="17">
        <f>COUNTIF('Test Cases'!J:J,"Not Run")</f>
        <v>8</v>
      </c>
    </row>
    <row r="9" spans="2:4" ht="28.05" customHeight="1" x14ac:dyDescent="0.3">
      <c r="B9" s="16" t="s">
        <v>202</v>
      </c>
      <c r="C9" s="21">
        <f>IFERROR(COUNTIF('Test Cases'!J:J,"Pass")/(COUNTA('Test Cases'!A:A)-1),0)</f>
        <v>0.6</v>
      </c>
    </row>
    <row r="10" spans="2:4" ht="10.050000000000001" customHeight="1" x14ac:dyDescent="0.3"/>
    <row r="11" spans="2:4" ht="24" customHeight="1" x14ac:dyDescent="0.3">
      <c r="B11" s="29" t="s">
        <v>203</v>
      </c>
      <c r="C11" s="26"/>
      <c r="D11" s="26"/>
    </row>
    <row r="12" spans="2:4" ht="22.05" customHeight="1" x14ac:dyDescent="0.3">
      <c r="B12" s="22" t="s">
        <v>23</v>
      </c>
      <c r="C12" s="22" t="s">
        <v>14</v>
      </c>
      <c r="D12" s="22" t="s">
        <v>31</v>
      </c>
    </row>
    <row r="13" spans="2:4" ht="22.05" customHeight="1" x14ac:dyDescent="0.3">
      <c r="B13" s="2" t="s">
        <v>34</v>
      </c>
      <c r="C13" s="14">
        <v>4</v>
      </c>
      <c r="D13" s="23" t="s">
        <v>42</v>
      </c>
    </row>
    <row r="14" spans="2:4" ht="22.05" customHeight="1" x14ac:dyDescent="0.3">
      <c r="B14" s="2" t="s">
        <v>65</v>
      </c>
      <c r="C14" s="14">
        <v>4</v>
      </c>
      <c r="D14" s="23" t="s">
        <v>42</v>
      </c>
    </row>
    <row r="15" spans="2:4" ht="22.05" customHeight="1" x14ac:dyDescent="0.3">
      <c r="B15" s="2" t="s">
        <v>90</v>
      </c>
      <c r="C15" s="14">
        <v>3</v>
      </c>
      <c r="D15" s="24" t="s">
        <v>204</v>
      </c>
    </row>
    <row r="16" spans="2:4" ht="22.05" customHeight="1" x14ac:dyDescent="0.3">
      <c r="B16" s="2" t="s">
        <v>188</v>
      </c>
      <c r="C16" s="14">
        <v>2</v>
      </c>
      <c r="D16" s="24" t="s">
        <v>109</v>
      </c>
    </row>
    <row r="17" spans="2:4" ht="22.05" customHeight="1" x14ac:dyDescent="0.3">
      <c r="B17" s="2" t="s">
        <v>124</v>
      </c>
      <c r="C17" s="14">
        <v>3</v>
      </c>
      <c r="D17" s="24" t="s">
        <v>109</v>
      </c>
    </row>
    <row r="18" spans="2:4" ht="22.05" customHeight="1" x14ac:dyDescent="0.3">
      <c r="B18" s="2" t="s">
        <v>144</v>
      </c>
      <c r="C18" s="14">
        <v>2</v>
      </c>
      <c r="D18" s="24" t="s">
        <v>109</v>
      </c>
    </row>
    <row r="19" spans="2:4" ht="22.05" customHeight="1" x14ac:dyDescent="0.3">
      <c r="B19" s="2" t="s">
        <v>158</v>
      </c>
      <c r="C19" s="14">
        <v>1</v>
      </c>
      <c r="D19" s="23" t="s">
        <v>42</v>
      </c>
    </row>
    <row r="20" spans="2:4" ht="22.05" customHeight="1" x14ac:dyDescent="0.3">
      <c r="B20" s="2" t="s">
        <v>166</v>
      </c>
      <c r="C20" s="14">
        <v>1</v>
      </c>
      <c r="D20" s="23" t="s">
        <v>42</v>
      </c>
    </row>
  </sheetData>
  <mergeCells count="3">
    <mergeCell ref="B11:D11"/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Cases</vt:lpstr>
      <vt:lpstr>Traceability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Kamble</cp:lastModifiedBy>
  <dcterms:created xsi:type="dcterms:W3CDTF">2026-05-24T08:12:27Z</dcterms:created>
  <dcterms:modified xsi:type="dcterms:W3CDTF">2026-05-24T08:43:23Z</dcterms:modified>
</cp:coreProperties>
</file>